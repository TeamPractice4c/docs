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1"/>
  <workbookPr filterPrivacy="1" codeName="ThisWorkbook"/>
  <xr:revisionPtr revIDLastSave="0" documentId="13_ncr:1_{F46913DF-EDBE-47EC-B1E2-59953F624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списание проекта" sheetId="11" r:id="rId1"/>
  </sheets>
  <definedNames>
    <definedName name="_xlnm.Print_Titles" localSheetId="0">'Расписание проекта'!$4:$6</definedName>
    <definedName name="завершение_выполнения_задачи" localSheetId="0">'Расписание проекта'!$F1</definedName>
    <definedName name="начало_выполнения_задачи" localSheetId="0">'Расписание проекта'!$E1</definedName>
    <definedName name="Начало_проекта">'Расписание проекта'!$E$3</definedName>
    <definedName name="Отображение_недели">'Расписание проекта'!$E$4</definedName>
    <definedName name="сегодня" localSheetId="0">TODAY()</definedName>
    <definedName name="ход_выполнения_задачи" localSheetId="0">'Расписание проекта'!$D1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1" l="1"/>
  <c r="F27" i="11"/>
  <c r="E27" i="11"/>
  <c r="F28" i="11"/>
  <c r="F15" i="11"/>
  <c r="E15" i="11"/>
  <c r="F14" i="11"/>
  <c r="F26" i="11"/>
  <c r="E26" i="11"/>
  <c r="F25" i="11"/>
  <c r="E25" i="11"/>
  <c r="F24" i="11"/>
  <c r="E24" i="11"/>
  <c r="F22" i="11"/>
  <c r="E22" i="11"/>
  <c r="F21" i="11"/>
  <c r="E21" i="11"/>
  <c r="F20" i="11"/>
  <c r="E20" i="11"/>
  <c r="F18" i="11"/>
  <c r="E18" i="11"/>
  <c r="F17" i="11"/>
  <c r="E17" i="11"/>
  <c r="E14" i="11"/>
  <c r="F13" i="11"/>
  <c r="E12" i="11"/>
  <c r="F12" i="11"/>
  <c r="E13" i="11" s="1"/>
  <c r="F11" i="11"/>
  <c r="E11" i="11"/>
  <c r="F10" i="11"/>
  <c r="E10" i="11"/>
  <c r="F9" i="11"/>
  <c r="E9" i="11"/>
  <c r="E3" i="11"/>
  <c r="H7" i="11"/>
  <c r="H21" i="11" l="1"/>
  <c r="I5" i="11"/>
  <c r="I6" i="11" s="1"/>
  <c r="H30" i="11"/>
  <c r="H29" i="11"/>
  <c r="H28" i="11"/>
  <c r="H27" i="11"/>
  <c r="H25" i="11"/>
  <c r="H23" i="11"/>
  <c r="H20" i="11"/>
  <c r="H19" i="11"/>
  <c r="H16" i="11"/>
  <c r="H8" i="11"/>
  <c r="H9" i="11" l="1"/>
  <c r="H24" i="11" l="1"/>
  <c r="H10" i="11"/>
  <c r="H22" i="11"/>
  <c r="H17" i="11"/>
  <c r="H13" i="11"/>
  <c r="J5" i="11"/>
  <c r="K5" i="11" l="1"/>
  <c r="L5" i="11" l="1"/>
  <c r="M5" i="11" l="1"/>
  <c r="N5" i="11" l="1"/>
  <c r="O5" i="11" l="1"/>
  <c r="P5" i="11" l="1"/>
  <c r="P6" i="11" s="1"/>
  <c r="O6" i="11"/>
  <c r="N6" i="11"/>
  <c r="M6" i="11"/>
  <c r="L6" i="11"/>
  <c r="K6" i="11"/>
  <c r="J6" i="11"/>
  <c r="I4" i="11"/>
  <c r="H18" i="11" l="1"/>
  <c r="H11" i="11"/>
  <c r="H12" i="11"/>
  <c r="P4" i="11"/>
  <c r="Q5" i="11"/>
  <c r="R5" i="11" l="1"/>
  <c r="S5" i="11" l="1"/>
  <c r="T5" i="11" l="1"/>
  <c r="U5" i="11" l="1"/>
  <c r="V5" i="11" l="1"/>
  <c r="W5" i="11" l="1"/>
  <c r="W6" i="11" s="1"/>
  <c r="V6" i="11"/>
  <c r="U6" i="11"/>
  <c r="T6" i="11"/>
  <c r="S6" i="11"/>
  <c r="R6" i="11"/>
  <c r="Q6" i="11"/>
  <c r="X5" i="11" l="1"/>
  <c r="Y5" i="11" s="1"/>
  <c r="W4" i="11"/>
  <c r="Z5" i="11" l="1"/>
  <c r="AA5" i="11" l="1"/>
  <c r="AB5" i="11" l="1"/>
  <c r="AC5" i="11" l="1"/>
  <c r="AD5" i="11" l="1"/>
  <c r="AD6" i="11" s="1"/>
  <c r="AC6" i="11"/>
  <c r="AB6" i="11"/>
  <c r="AA6" i="11"/>
  <c r="Z6" i="11"/>
  <c r="Y6" i="11"/>
  <c r="X6" i="11"/>
  <c r="AE5" i="11" l="1"/>
  <c r="AF5" i="11" s="1"/>
  <c r="AG5" i="11" l="1"/>
  <c r="AH5" i="11" l="1"/>
  <c r="AI5" i="11" l="1"/>
  <c r="AJ5" i="11" l="1"/>
  <c r="AJ6" i="11" s="1"/>
  <c r="AI6" i="11"/>
  <c r="AH6" i="11"/>
  <c r="AG6" i="11"/>
  <c r="AF6" i="11"/>
  <c r="AE6" i="11"/>
  <c r="AD4" i="11"/>
  <c r="AK5" i="11" l="1"/>
  <c r="AL5" i="11" l="1"/>
  <c r="AM5" i="11" l="1"/>
  <c r="AN5" i="11" l="1"/>
  <c r="AO5" i="11" l="1"/>
  <c r="AP5" i="11" l="1"/>
  <c r="AQ5" i="11" l="1"/>
  <c r="AQ6" i="11" s="1"/>
  <c r="AP6" i="11"/>
  <c r="AO6" i="11"/>
  <c r="AN6" i="11"/>
  <c r="AM6" i="11"/>
  <c r="AL6" i="11"/>
  <c r="AK6" i="11"/>
  <c r="AR5" i="11" l="1"/>
  <c r="AS5" i="11" s="1"/>
  <c r="AS6" i="11" s="1"/>
  <c r="AK4" i="11"/>
  <c r="AR6" i="11" l="1"/>
  <c r="AT5" i="11"/>
  <c r="AT6" i="11" s="1"/>
  <c r="AR4" i="11"/>
  <c r="AU5" i="11" l="1"/>
  <c r="AU6" i="11" s="1"/>
  <c r="AV5" i="11" l="1"/>
  <c r="AV6" i="11" s="1"/>
  <c r="AW5" i="11" l="1"/>
  <c r="AW6" i="11" s="1"/>
  <c r="AX5" i="11" l="1"/>
  <c r="AY5" i="11" l="1"/>
  <c r="AY6" i="11" s="1"/>
  <c r="AX6" i="11"/>
  <c r="AY4" i="11" l="1"/>
  <c r="AZ5" i="11"/>
  <c r="AZ6" i="11" s="1"/>
  <c r="BA5" i="11"/>
  <c r="BA6" i="11" s="1"/>
  <c r="BB5" i="11" l="1"/>
  <c r="BB6" i="11" s="1"/>
  <c r="BC5" i="11" l="1"/>
  <c r="BC6" i="11" s="1"/>
  <c r="BD5" i="11" l="1"/>
  <c r="BD6" i="11" s="1"/>
  <c r="BE5" i="11" l="1"/>
  <c r="BE6" i="11" s="1"/>
  <c r="BF5" i="11" l="1"/>
  <c r="BF6" i="11" s="1"/>
  <c r="BG5" i="11" l="1"/>
  <c r="BG6" i="11" s="1"/>
  <c r="BF4" i="11"/>
  <c r="BH5" i="11" l="1"/>
  <c r="BH6" i="11" s="1"/>
  <c r="BI5" i="11" l="1"/>
  <c r="BI6" i="11" s="1"/>
  <c r="BJ5" i="11" l="1"/>
  <c r="BJ6" i="11" s="1"/>
  <c r="BK5" i="11" l="1"/>
  <c r="BK6" i="11" s="1"/>
  <c r="BL5" i="11" l="1"/>
  <c r="BL6" i="11" s="1"/>
</calcChain>
</file>

<file path=xl/sharedStrings.xml><?xml version="1.0" encoding="utf-8"?>
<sst xmlns="http://schemas.openxmlformats.org/spreadsheetml/2006/main" count="64" uniqueCount="48">
  <si>
    <t>Составьте на этом листе расписание проекта.
Введите название проекта в ячейке B1. 
Сведения о том, как использовать этот лист, включая инструкции для средств чтения с экрана и информацию об авторе книги, приведены на листе «Об этой книге».
Дальнейшие инструкции вы найдете в расположенных ниже ячейках столбца A.</t>
  </si>
  <si>
    <t>Введите название компании в ячейке B2.</t>
  </si>
  <si>
    <t>Введите имя руководителя проекта в ячейке B3. Введите дату начала проекта в ячейке E3. В ячейке C3 находится надпись «Начало проекта».</t>
  </si>
  <si>
    <t>Номер отображаемой недели в ячейке E4 указывает, с какой недели начинается расписание проекта в ячейке I4. Считается, что дата начала проекта относится к неделе 1. Чтобы изменить отображаемую неделю, просто введите новый номер недели в ячейке E4.
Дата начала каждой недели (начиная с отображаемой недели, указанной в ячейке E4) указывается в ячейке I4 и рассчитывается автоматически. В этом представлении отображаются 8 недель в ячейках от I4 до BF4.
Не следует редактировать эти ячейки.
В ячейке C4 находится надпись "Отображаемая неделя".</t>
  </si>
  <si>
    <t>Ячейки с I5 по BL5 содержат дни недели, указанной в блоке ячеек над ними, и вычисляются автоматически.
Не следует редактировать эти ячейки.
Текущая дата выделена красным прямоугольником (код цвета — #AD3815), который начинается с этой даты в строке 5 и охватывает весь столбец до конца расписания проекта.</t>
  </si>
  <si>
    <t>Эта строка содержит заголовки для расписания проекта, которое следует под ними. 
Чтобы прослушать содержимое, переходите между ячейками B6–BL6. Первые буквы дней недели для даты, указанной над этим заголовком, представлены в ячейках с I6 по BL6.
Все диаграммы графика проекта создаются автоматически с учетом введенных дат начала и завершения и с использованием условного форматирования.
Не редактируйте содержимое ячеек в столбцах после столбца I, начиная с ячейки I7.</t>
  </si>
  <si>
    <t xml:space="preserve">Не удаляйте эту строку. Эта строка скрыта, чтобы защитить формулу, которая используется для выделения текущей даты в расписании проекта. </t>
  </si>
  <si>
    <t>Ячейка B8 содержит пример заголовка фазы 1. 
Введите новый заголовок в ячейке B8.
Введите имя человека, которому будет назначена фаза (если это применимо к вашему проекту), в ячейке C8.
Укажите состояние выполнения всей фазы (если это применимо к вашему проекту) в ячейке D8.
Укажите даны начала и окончания всей фазы (если это применимо к вашему проекту) в ячейках E8 и F8. 
В диаграмму Ганта будут автоматически добавлены даты и затенение в соответствии с указанным состоянием выполнения.
Чтобы удалить фазу и работать только с задачами, просто удалите эту строку.</t>
  </si>
  <si>
    <t xml:space="preserve">Ячейка B9 содержит пример задачи "Задача 1". 
Введите название новой задачи в ячейке B9.
Укажите человека, которому будет назначена задача, в ячейке C9.
Укажите состояние выполнения задачи в ячейке D9. В ячейке появится индикатор выполнения, затененный в соответствии с числом в этой ячейке. Например, если указано значение в 50 процентов, будет затенена половина ячейки.
Введите дату начала задачи в ячейке E9.
Введите дату завершения задачи в ячейке E9.
В блоках ячеек от I9 до BL9 отображается строка состояния для введенных дат. </t>
  </si>
  <si>
    <t>В строках 10–13 повторяется закономерность из строки 9. 
Повторите инструкции из ячейки A9 для всех строк задач на этом листе. Замените все примеры данных.
Пример другой фазы начинается с ячейки A14. 
Продолжайте добавлять задачи в ячейках от A10 до A13 или перейдите к ячейке A14, чтобы узнать больше.</t>
  </si>
  <si>
    <t>Ячейка справа содержит пример заголовка фазы 2. 
Вы можете в любой момент создать фазу в столбце B. В этом расписании проекта не обязательно использовать фазы. Чтобы удалить фазу, просто удалите строку.
Чтобы создать блок фазы в этой строке, введите новый заголовок в ячейке справа.
Чтобы продолжить добавлять задачи в представленную выше фазу, добавьте новую строку над этой строкой и укажите данные о задаче, следуя инструкциям из ячейки A9.
Обновите сведения о фазе в ячейке справа, следуя инструкциям из ячейки A8.
Чтобы узнать больше, переходите к последующим ячейкам столбца A.
Если на этот лист не добавлялось никаких строк, то вы обнаружите, что в ячейках B20 и B26 были автоматически созданы два дополнительных примера блоков фаз. В противном случае переходите по ячейкам столбца A, чтобы найти дополнительные блоки. 
По мере необходимости повторяйте инструкции из ячеек A8 и A9.</t>
  </si>
  <si>
    <t>Пример блока с заголовком фазы</t>
  </si>
  <si>
    <t>Это пустая строка.</t>
  </si>
  <si>
    <t>Эта строка обозначает окончание расписания проекта. НЕ вводите ничего в этой строке. 
Вставляйте новые строки НАД этой, чтобы продолжить составлять расписание проекта.</t>
  </si>
  <si>
    <t>ЗАДАЧА</t>
  </si>
  <si>
    <t>Вставляйте новые строки НАД этой.</t>
  </si>
  <si>
    <t>Начало проекта:</t>
  </si>
  <si>
    <t>Отображаемая неделя:</t>
  </si>
  <si>
    <t>КОМУ
НАЗНАЧЕНО</t>
  </si>
  <si>
    <t>ВЫПОЛНЕНО</t>
  </si>
  <si>
    <t>НАЧАЛО</t>
  </si>
  <si>
    <t>ЗАВЕРШЕНИЕ</t>
  </si>
  <si>
    <t>ДНИ</t>
  </si>
  <si>
    <t>Документация</t>
  </si>
  <si>
    <t>Описание предметной области</t>
  </si>
  <si>
    <t>Схема взаимодействия</t>
  </si>
  <si>
    <t>Use-case</t>
  </si>
  <si>
    <t>Диаграмма классов</t>
  </si>
  <si>
    <t>Вх, вых информация с шаблоном</t>
  </si>
  <si>
    <t>Диаграмма Ганта</t>
  </si>
  <si>
    <t>Диаграмма развертывания</t>
  </si>
  <si>
    <t>База данных</t>
  </si>
  <si>
    <t>Проектирование базы данных</t>
  </si>
  <si>
    <t>Описание структуры БД</t>
  </si>
  <si>
    <t>Разработка API</t>
  </si>
  <si>
    <t>Создание контроллеров</t>
  </si>
  <si>
    <t>Документация API</t>
  </si>
  <si>
    <t>Тестирование</t>
  </si>
  <si>
    <t>Разработка веб-приложения</t>
  </si>
  <si>
    <t>Прототип</t>
  </si>
  <si>
    <t>Контрольный пример для тестирования</t>
  </si>
  <si>
    <t>Разработка</t>
  </si>
  <si>
    <t>Техническое задание</t>
  </si>
  <si>
    <t>skywhysales</t>
  </si>
  <si>
    <t>Командный проект</t>
  </si>
  <si>
    <t>Захаренко Артём</t>
  </si>
  <si>
    <t>Файзуллин Айдар</t>
  </si>
  <si>
    <t>Файзуллин Айдар, Захаренко Артём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</si>
</sst>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(* #,##0_);_(* \(#,##0\);_(* &quot;-&quot;_);_(@_)"/>
    <numFmt numFmtId="43" formatCode="_(* #,##0.00_);_(* \(#,##0.00\);_(* &quot;-&quot;??_);_(@_)"/>
    <numFmt numFmtId="164" formatCode="ddd\,\ m/d/yyyy"/>
    <numFmt numFmtId="165" formatCode="_-* #,##0.00\ &quot;lei&quot;_-;\-* #,##0.00\ &quot;lei&quot;_-;_-* &quot;-&quot;??\ &quot;lei&quot;_-;_-@_-"/>
    <numFmt numFmtId="166" formatCode="_-* #,##0\ &quot;lei&quot;_-;\-* #,##0\ &quot;lei&quot;_-;_-* &quot;-&quot;\ &quot;lei&quot;_-;_-@_-"/>
    <numFmt numFmtId="167" formatCode="d\.m\.yy;@"/>
    <numFmt numFmtId="168" formatCode="dd\ mmmm\ yyyy\ \г\."/>
    <numFmt numFmtId="169" formatCode="d"/>
    <numFmt numFmtId="170" formatCode="d/m/yy;@"/>
    <numFmt numFmtId="171" formatCode="yyyy\-mm\-dd;@"/>
  </numFmts>
  <fonts count="32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0" fontId="16" fillId="0" borderId="0"/>
    <xf numFmtId="43" fontId="9" fillId="0" borderId="3" applyFon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Alignment="0" applyProtection="0"/>
    <xf numFmtId="0" fontId="10" fillId="0" borderId="0" applyNumberFormat="0" applyFill="0" applyProtection="0">
      <alignment vertical="top"/>
    </xf>
    <xf numFmtId="0" fontId="9" fillId="0" borderId="0" applyNumberFormat="0" applyFill="0" applyProtection="0">
      <alignment horizontal="right" indent="1"/>
    </xf>
    <xf numFmtId="164" fontId="9" fillId="0" borderId="3">
      <alignment horizontal="center" vertical="center"/>
    </xf>
    <xf numFmtId="170" fontId="9" fillId="0" borderId="2" applyFill="0">
      <alignment horizontal="center" vertical="center"/>
    </xf>
    <xf numFmtId="0" fontId="9" fillId="0" borderId="2" applyFill="0">
      <alignment horizontal="center" vertical="center"/>
    </xf>
    <xf numFmtId="0" fontId="9" fillId="0" borderId="2" applyFill="0">
      <alignment horizontal="left" vertical="center" indent="2"/>
    </xf>
    <xf numFmtId="0" fontId="19" fillId="0" borderId="0" applyNumberForma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14" borderId="0" applyNumberFormat="0" applyBorder="0" applyAlignment="0" applyProtection="0"/>
    <xf numFmtId="0" fontId="22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11" applyNumberFormat="0" applyAlignment="0" applyProtection="0"/>
    <xf numFmtId="0" fontId="25" fillId="18" borderId="12" applyNumberFormat="0" applyAlignment="0" applyProtection="0"/>
    <xf numFmtId="0" fontId="26" fillId="18" borderId="11" applyNumberFormat="0" applyAlignment="0" applyProtection="0"/>
    <xf numFmtId="0" fontId="27" fillId="0" borderId="13" applyNumberFormat="0" applyFill="0" applyAlignment="0" applyProtection="0"/>
    <xf numFmtId="0" fontId="28" fillId="19" borderId="14" applyNumberFormat="0" applyAlignment="0" applyProtection="0"/>
    <xf numFmtId="0" fontId="29" fillId="0" borderId="0" applyNumberFormat="0" applyFill="0" applyBorder="0" applyAlignment="0" applyProtection="0"/>
    <xf numFmtId="0" fontId="9" fillId="20" borderId="15" applyNumberFormat="0" applyFont="0" applyAlignment="0" applyProtection="0"/>
    <xf numFmtId="0" fontId="30" fillId="0" borderId="0" applyNumberFormat="0" applyFill="0" applyBorder="0" applyAlignment="0" applyProtection="0"/>
    <xf numFmtId="0" fontId="6" fillId="0" borderId="16" applyNumberFormat="0" applyFill="0" applyAlignment="0" applyProtection="0"/>
    <xf numFmtId="0" fontId="16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16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16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16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16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16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indent="1"/>
    </xf>
    <xf numFmtId="0" fontId="7" fillId="13" borderId="1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shrinkToFit="1"/>
    </xf>
    <xf numFmtId="0" fontId="14" fillId="0" borderId="0" xfId="0" applyFont="1"/>
    <xf numFmtId="0" fontId="15" fillId="0" borderId="0" xfId="1" applyFont="1" applyAlignment="1" applyProtection="1"/>
    <xf numFmtId="9" fontId="5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indent="1"/>
    </xf>
    <xf numFmtId="9" fontId="5" fillId="8" borderId="2" xfId="2" applyFont="1" applyFill="1" applyBorder="1" applyAlignment="1">
      <alignment horizontal="center" vertical="center"/>
    </xf>
    <xf numFmtId="9" fontId="5" fillId="3" borderId="2" xfId="2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indent="1"/>
    </xf>
    <xf numFmtId="9" fontId="5" fillId="9" borderId="2" xfId="2" applyFont="1" applyFill="1" applyBorder="1" applyAlignment="1">
      <alignment horizontal="center" vertical="center"/>
    </xf>
    <xf numFmtId="9" fontId="5" fillId="4" borderId="2" xfId="2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9" fontId="5" fillId="6" borderId="2" xfId="2" applyFont="1" applyFill="1" applyBorder="1" applyAlignment="1">
      <alignment horizontal="center" vertical="center"/>
    </xf>
    <xf numFmtId="9" fontId="5" fillId="11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9" fontId="5" fillId="5" borderId="2" xfId="2" applyFont="1" applyFill="1" applyBorder="1" applyAlignment="1">
      <alignment horizontal="center" vertical="center"/>
    </xf>
    <xf numFmtId="9" fontId="5" fillId="10" borderId="2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6" fillId="0" borderId="0" xfId="3"/>
    <xf numFmtId="0" fontId="16" fillId="0" borderId="0" xfId="3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13" fillId="0" borderId="0" xfId="5" applyAlignment="1">
      <alignment horizontal="left"/>
    </xf>
    <xf numFmtId="0" fontId="10" fillId="0" borderId="0" xfId="6"/>
    <xf numFmtId="0" fontId="10" fillId="0" borderId="0" xfId="7">
      <alignment vertical="top"/>
    </xf>
    <xf numFmtId="0" fontId="9" fillId="8" borderId="2" xfId="11" applyFill="1">
      <alignment horizontal="center" vertical="center"/>
    </xf>
    <xf numFmtId="0" fontId="9" fillId="3" borderId="2" xfId="11" applyFill="1">
      <alignment horizontal="center" vertical="center"/>
    </xf>
    <xf numFmtId="0" fontId="9" fillId="9" borderId="2" xfId="11" applyFill="1">
      <alignment horizontal="center" vertical="center"/>
    </xf>
    <xf numFmtId="0" fontId="9" fillId="4" borderId="2" xfId="11" applyFill="1">
      <alignment horizontal="center" vertical="center"/>
    </xf>
    <xf numFmtId="0" fontId="9" fillId="6" borderId="2" xfId="11" applyFill="1">
      <alignment horizontal="center" vertical="center"/>
    </xf>
    <xf numFmtId="0" fontId="9" fillId="11" borderId="2" xfId="11" applyFill="1">
      <alignment horizontal="center" vertical="center"/>
    </xf>
    <xf numFmtId="0" fontId="9" fillId="5" borderId="2" xfId="11" applyFill="1">
      <alignment horizontal="center" vertical="center"/>
    </xf>
    <xf numFmtId="0" fontId="9" fillId="10" borderId="2" xfId="11" applyFill="1">
      <alignment horizontal="center" vertical="center"/>
    </xf>
    <xf numFmtId="0" fontId="9" fillId="0" borderId="2" xfId="11">
      <alignment horizontal="center" vertical="center"/>
    </xf>
    <xf numFmtId="0" fontId="9" fillId="3" borderId="2" xfId="12" applyFill="1">
      <alignment horizontal="left" vertical="center" indent="2"/>
    </xf>
    <xf numFmtId="0" fontId="9" fillId="4" borderId="2" xfId="12" applyFill="1">
      <alignment horizontal="left" vertical="center" indent="2"/>
    </xf>
    <xf numFmtId="0" fontId="9" fillId="11" borderId="2" xfId="12" applyFill="1">
      <alignment horizontal="left" vertical="center" indent="2"/>
    </xf>
    <xf numFmtId="0" fontId="9" fillId="10" borderId="2" xfId="12" applyFill="1">
      <alignment horizontal="left" vertical="center" indent="2"/>
    </xf>
    <xf numFmtId="0" fontId="9" fillId="0" borderId="2" xfId="12">
      <alignment horizontal="left" vertical="center" indent="2"/>
    </xf>
    <xf numFmtId="0" fontId="0" fillId="0" borderId="10" xfId="0" applyBorder="1"/>
    <xf numFmtId="0" fontId="17" fillId="0" borderId="0" xfId="0" applyFont="1"/>
    <xf numFmtId="0" fontId="18" fillId="0" borderId="0" xfId="1" applyFont="1" applyProtection="1">
      <alignment vertical="top"/>
    </xf>
    <xf numFmtId="167" fontId="4" fillId="2" borderId="2" xfId="0" applyNumberFormat="1" applyFont="1" applyFill="1" applyBorder="1" applyAlignment="1">
      <alignment horizontal="left" vertical="center"/>
    </xf>
    <xf numFmtId="167" fontId="5" fillId="2" borderId="2" xfId="0" applyNumberFormat="1" applyFont="1" applyFill="1" applyBorder="1" applyAlignment="1">
      <alignment horizontal="center" vertical="center"/>
    </xf>
    <xf numFmtId="169" fontId="11" fillId="7" borderId="6" xfId="0" applyNumberFormat="1" applyFont="1" applyFill="1" applyBorder="1" applyAlignment="1">
      <alignment horizontal="center" vertical="center"/>
    </xf>
    <xf numFmtId="169" fontId="11" fillId="7" borderId="0" xfId="0" applyNumberFormat="1" applyFont="1" applyFill="1" applyAlignment="1">
      <alignment horizontal="center" vertical="center"/>
    </xf>
    <xf numFmtId="169" fontId="11" fillId="7" borderId="7" xfId="0" applyNumberFormat="1" applyFont="1" applyFill="1" applyBorder="1" applyAlignment="1">
      <alignment horizontal="center" vertical="center"/>
    </xf>
    <xf numFmtId="170" fontId="0" fillId="8" borderId="2" xfId="0" applyNumberFormat="1" applyFill="1" applyBorder="1" applyAlignment="1">
      <alignment horizontal="center" vertical="center"/>
    </xf>
    <xf numFmtId="170" fontId="5" fillId="8" borderId="2" xfId="0" applyNumberFormat="1" applyFont="1" applyFill="1" applyBorder="1" applyAlignment="1">
      <alignment horizontal="center" vertical="center"/>
    </xf>
    <xf numFmtId="170" fontId="9" fillId="3" borderId="2" xfId="10" applyFill="1">
      <alignment horizontal="center" vertical="center"/>
    </xf>
    <xf numFmtId="170" fontId="0" fillId="9" borderId="2" xfId="0" applyNumberFormat="1" applyFill="1" applyBorder="1" applyAlignment="1">
      <alignment horizontal="center" vertical="center"/>
    </xf>
    <xf numFmtId="170" fontId="5" fillId="9" borderId="2" xfId="0" applyNumberFormat="1" applyFont="1" applyFill="1" applyBorder="1" applyAlignment="1">
      <alignment horizontal="center" vertical="center"/>
    </xf>
    <xf numFmtId="170" fontId="9" fillId="4" borderId="2" xfId="10" applyFill="1">
      <alignment horizontal="center" vertical="center"/>
    </xf>
    <xf numFmtId="170" fontId="0" fillId="6" borderId="2" xfId="0" applyNumberFormat="1" applyFill="1" applyBorder="1" applyAlignment="1">
      <alignment horizontal="center" vertical="center"/>
    </xf>
    <xf numFmtId="170" fontId="5" fillId="6" borderId="2" xfId="0" applyNumberFormat="1" applyFont="1" applyFill="1" applyBorder="1" applyAlignment="1">
      <alignment horizontal="center" vertical="center"/>
    </xf>
    <xf numFmtId="170" fontId="9" fillId="11" borderId="2" xfId="10" applyFill="1">
      <alignment horizontal="center" vertical="center"/>
    </xf>
    <xf numFmtId="170" fontId="0" fillId="5" borderId="2" xfId="0" applyNumberForma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 vertical="center"/>
    </xf>
    <xf numFmtId="170" fontId="9" fillId="10" borderId="2" xfId="10" applyFill="1">
      <alignment horizontal="center" vertical="center"/>
    </xf>
    <xf numFmtId="170" fontId="9" fillId="0" borderId="2" xfId="10">
      <alignment horizontal="center" vertical="center"/>
    </xf>
    <xf numFmtId="0" fontId="9" fillId="3" borderId="2" xfId="12" applyFill="1" applyAlignment="1">
      <alignment horizontal="left" vertical="center" wrapText="1" indent="2"/>
    </xf>
    <xf numFmtId="0" fontId="9" fillId="4" borderId="2" xfId="12" applyFill="1" applyAlignment="1">
      <alignment horizontal="left" vertical="center" wrapText="1" indent="2"/>
    </xf>
    <xf numFmtId="0" fontId="9" fillId="10" borderId="2" xfId="12" applyFill="1" applyAlignment="1">
      <alignment horizontal="left" vertical="center" wrapText="1" indent="2"/>
    </xf>
    <xf numFmtId="0" fontId="9" fillId="0" borderId="0" xfId="8">
      <alignment horizontal="right" indent="1"/>
    </xf>
    <xf numFmtId="0" fontId="9" fillId="0" borderId="7" xfId="8" applyBorder="1">
      <alignment horizontal="right" indent="1"/>
    </xf>
    <xf numFmtId="168" fontId="0" fillId="7" borderId="4" xfId="0" applyNumberFormat="1" applyFill="1" applyBorder="1" applyAlignment="1">
      <alignment horizontal="left" vertical="center" wrapText="1" indent="1"/>
    </xf>
    <xf numFmtId="168" fontId="0" fillId="7" borderId="1" xfId="0" applyNumberFormat="1" applyFill="1" applyBorder="1" applyAlignment="1">
      <alignment horizontal="left" vertical="center" wrapText="1" indent="1"/>
    </xf>
    <xf numFmtId="168" fontId="0" fillId="7" borderId="5" xfId="0" applyNumberFormat="1" applyFill="1" applyBorder="1" applyAlignment="1">
      <alignment horizontal="left" vertical="center" wrapText="1" indent="1"/>
    </xf>
    <xf numFmtId="171" fontId="9" fillId="0" borderId="3" xfId="9" applyNumberFormat="1">
      <alignment horizontal="center" vertical="center"/>
    </xf>
    <xf numFmtId="0" fontId="9" fillId="4" borderId="2" xfId="11" applyFill="1" applyAlignment="1">
      <alignment horizontal="center" vertical="center" wrapText="1"/>
    </xf>
    <xf numFmtId="0" fontId="9" fillId="10" borderId="2" xfId="11" applyFill="1" applyAlignment="1">
      <alignment horizontal="center" vertical="center" wrapText="1"/>
    </xf>
  </cellXfs>
  <cellStyles count="54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Calculation" xfId="23" builtinId="22" customBuiltin="1"/>
    <cellStyle name="Check Cell" xfId="25" builtinId="23" customBuiltin="1"/>
    <cellStyle name="Comma" xfId="4" builtinId="3" customBuiltin="1"/>
    <cellStyle name="Comma [0]" xfId="14" builtinId="6" customBuiltin="1"/>
    <cellStyle name="Currency" xfId="15" builtinId="4" customBuiltin="1"/>
    <cellStyle name="Currency [0]" xfId="16" builtinId="7" customBuiltin="1"/>
    <cellStyle name="Explanatory Text" xfId="28" builtinId="53" customBuiltin="1"/>
    <cellStyle name="Followed Hyperlink" xfId="13" builtinId="9" customBuiltin="1"/>
    <cellStyle name="Good" xfId="18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17" builtinId="19" customBuiltin="1"/>
    <cellStyle name="Hyperlink" xfId="1" builtinId="8" customBuilti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 customBuiltin="1"/>
    <cellStyle name="Note" xfId="27" builtinId="10" customBuiltin="1"/>
    <cellStyle name="Output" xfId="22" builtinId="21" customBuiltin="1"/>
    <cellStyle name="Percent" xfId="2" builtinId="5" customBuiltin="1"/>
    <cellStyle name="Title" xfId="5" builtinId="15" customBuiltin="1"/>
    <cellStyle name="Total" xfId="29" builtinId="25" customBuiltin="1"/>
    <cellStyle name="Warning Text" xfId="26" builtinId="11" customBuiltin="1"/>
    <cellStyle name="zСкрытыйТекст" xfId="3" xr:uid="{26E66EE6-E33F-4D77-BAE4-0FB4F5BBF673}"/>
    <cellStyle name="Дата" xfId="10" xr:uid="{229918B6-DD13-4F5A-97B9-305F7E002AA3}"/>
    <cellStyle name="Задача" xfId="12" xr:uid="{6391D789-272B-4DD2-9BF3-2CDCF610FA41}"/>
    <cellStyle name="Имя" xfId="11" xr:uid="{B2D3C1EE-6B41-4801-AAFC-C2274E49E503}"/>
    <cellStyle name="Начало проекта" xfId="9" xr:uid="{8EB8A09A-C31C-40A3-B2C1-9449520178B8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СписокДел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L33"/>
  <sheetViews>
    <sheetView showGridLines="0" tabSelected="1" showRuler="0" zoomScaleNormal="100" zoomScalePageLayoutView="70" workbookViewId="0">
      <pane ySplit="6" topLeftCell="A23" activePane="bottomLeft" state="frozen"/>
      <selection pane="bottomLeft" activeCell="F28" sqref="F28"/>
    </sheetView>
  </sheetViews>
  <sheetFormatPr defaultRowHeight="30" customHeight="1" x14ac:dyDescent="0.3"/>
  <cols>
    <col min="1" max="1" width="2.6640625" style="35" customWidth="1"/>
    <col min="2" max="2" width="27.33203125" customWidth="1"/>
    <col min="3" max="3" width="25.109375" customWidth="1"/>
    <col min="4" max="4" width="13" customWidth="1"/>
    <col min="5" max="5" width="13" style="5" customWidth="1"/>
    <col min="6" max="6" width="13" customWidth="1"/>
    <col min="7" max="7" width="2.6640625" customWidth="1"/>
    <col min="8" max="8" width="6.109375" hidden="1" customWidth="1"/>
    <col min="9" max="64" width="3.21875" customWidth="1"/>
    <col min="69" max="70" width="10.33203125"/>
  </cols>
  <sheetData>
    <row r="1" spans="1:64" ht="30" customHeight="1" x14ac:dyDescent="0.55000000000000004">
      <c r="A1" s="36" t="s">
        <v>0</v>
      </c>
      <c r="B1" s="39" t="s">
        <v>43</v>
      </c>
      <c r="C1" s="1"/>
      <c r="D1" s="2"/>
      <c r="E1" s="4"/>
      <c r="F1" s="34"/>
      <c r="H1" s="2"/>
      <c r="I1" s="57"/>
    </row>
    <row r="2" spans="1:64" ht="30" customHeight="1" x14ac:dyDescent="0.35">
      <c r="A2" s="35" t="s">
        <v>1</v>
      </c>
      <c r="B2" s="40" t="s">
        <v>44</v>
      </c>
      <c r="I2" s="58"/>
    </row>
    <row r="3" spans="1:64" ht="30" customHeight="1" x14ac:dyDescent="0.3">
      <c r="A3" s="35" t="s">
        <v>2</v>
      </c>
      <c r="B3" s="41"/>
      <c r="C3" s="80" t="s">
        <v>16</v>
      </c>
      <c r="D3" s="81"/>
      <c r="E3" s="85">
        <f>DATE(2025,9,15)</f>
        <v>45915</v>
      </c>
      <c r="F3" s="85"/>
    </row>
    <row r="4" spans="1:64" ht="30" customHeight="1" x14ac:dyDescent="0.3">
      <c r="A4" s="36" t="s">
        <v>3</v>
      </c>
      <c r="C4" s="80" t="s">
        <v>17</v>
      </c>
      <c r="D4" s="81"/>
      <c r="E4" s="7">
        <v>1</v>
      </c>
      <c r="I4" s="82">
        <f>I5</f>
        <v>45915</v>
      </c>
      <c r="J4" s="83"/>
      <c r="K4" s="83"/>
      <c r="L4" s="83"/>
      <c r="M4" s="83"/>
      <c r="N4" s="83"/>
      <c r="O4" s="84"/>
      <c r="P4" s="82">
        <f>P5</f>
        <v>45922</v>
      </c>
      <c r="Q4" s="83"/>
      <c r="R4" s="83"/>
      <c r="S4" s="83"/>
      <c r="T4" s="83"/>
      <c r="U4" s="83"/>
      <c r="V4" s="84"/>
      <c r="W4" s="82">
        <f>W5</f>
        <v>45929</v>
      </c>
      <c r="X4" s="83"/>
      <c r="Y4" s="83"/>
      <c r="Z4" s="83"/>
      <c r="AA4" s="83"/>
      <c r="AB4" s="83"/>
      <c r="AC4" s="84"/>
      <c r="AD4" s="82">
        <f>AD5</f>
        <v>45936</v>
      </c>
      <c r="AE4" s="83"/>
      <c r="AF4" s="83"/>
      <c r="AG4" s="83"/>
      <c r="AH4" s="83"/>
      <c r="AI4" s="83"/>
      <c r="AJ4" s="84"/>
      <c r="AK4" s="82">
        <f>AK5</f>
        <v>45943</v>
      </c>
      <c r="AL4" s="83"/>
      <c r="AM4" s="83"/>
      <c r="AN4" s="83"/>
      <c r="AO4" s="83"/>
      <c r="AP4" s="83"/>
      <c r="AQ4" s="84"/>
      <c r="AR4" s="82">
        <f>AR5</f>
        <v>45950</v>
      </c>
      <c r="AS4" s="83"/>
      <c r="AT4" s="83"/>
      <c r="AU4" s="83"/>
      <c r="AV4" s="83"/>
      <c r="AW4" s="83"/>
      <c r="AX4" s="84"/>
      <c r="AY4" s="82">
        <f>AY5</f>
        <v>45957</v>
      </c>
      <c r="AZ4" s="83"/>
      <c r="BA4" s="83"/>
      <c r="BB4" s="83"/>
      <c r="BC4" s="83"/>
      <c r="BD4" s="83"/>
      <c r="BE4" s="84"/>
      <c r="BF4" s="82">
        <f>BF5</f>
        <v>45964</v>
      </c>
      <c r="BG4" s="83"/>
      <c r="BH4" s="83"/>
      <c r="BI4" s="83"/>
      <c r="BJ4" s="83"/>
      <c r="BK4" s="83"/>
      <c r="BL4" s="84"/>
    </row>
    <row r="5" spans="1:64" ht="15" customHeight="1" x14ac:dyDescent="0.3">
      <c r="A5" s="36" t="s">
        <v>4</v>
      </c>
      <c r="B5" s="56"/>
      <c r="C5" s="56"/>
      <c r="D5" s="56"/>
      <c r="E5" s="56"/>
      <c r="F5" s="56"/>
      <c r="G5" s="56"/>
      <c r="I5" s="61">
        <f>Начало_проекта-WEEKDAY(Начало_проекта,1)+2+7*(Отображение_недели-1)</f>
        <v>45915</v>
      </c>
      <c r="J5" s="62">
        <f>I5+1</f>
        <v>45916</v>
      </c>
      <c r="K5" s="62">
        <f t="shared" ref="K5:AX5" si="0">J5+1</f>
        <v>45917</v>
      </c>
      <c r="L5" s="62">
        <f t="shared" si="0"/>
        <v>45918</v>
      </c>
      <c r="M5" s="62">
        <f t="shared" si="0"/>
        <v>45919</v>
      </c>
      <c r="N5" s="62">
        <f t="shared" si="0"/>
        <v>45920</v>
      </c>
      <c r="O5" s="63">
        <f t="shared" si="0"/>
        <v>45921</v>
      </c>
      <c r="P5" s="61">
        <f>O5+1</f>
        <v>45922</v>
      </c>
      <c r="Q5" s="62">
        <f>P5+1</f>
        <v>45923</v>
      </c>
      <c r="R5" s="62">
        <f t="shared" si="0"/>
        <v>45924</v>
      </c>
      <c r="S5" s="62">
        <f t="shared" si="0"/>
        <v>45925</v>
      </c>
      <c r="T5" s="62">
        <f t="shared" si="0"/>
        <v>45926</v>
      </c>
      <c r="U5" s="62">
        <f t="shared" si="0"/>
        <v>45927</v>
      </c>
      <c r="V5" s="63">
        <f t="shared" si="0"/>
        <v>45928</v>
      </c>
      <c r="W5" s="61">
        <f>V5+1</f>
        <v>45929</v>
      </c>
      <c r="X5" s="62">
        <f>W5+1</f>
        <v>45930</v>
      </c>
      <c r="Y5" s="62">
        <f t="shared" si="0"/>
        <v>45931</v>
      </c>
      <c r="Z5" s="62">
        <f t="shared" si="0"/>
        <v>45932</v>
      </c>
      <c r="AA5" s="62">
        <f t="shared" si="0"/>
        <v>45933</v>
      </c>
      <c r="AB5" s="62">
        <f t="shared" si="0"/>
        <v>45934</v>
      </c>
      <c r="AC5" s="63">
        <f t="shared" si="0"/>
        <v>45935</v>
      </c>
      <c r="AD5" s="61">
        <f>AC5+1</f>
        <v>45936</v>
      </c>
      <c r="AE5" s="62">
        <f>AD5+1</f>
        <v>45937</v>
      </c>
      <c r="AF5" s="62">
        <f t="shared" si="0"/>
        <v>45938</v>
      </c>
      <c r="AG5" s="62">
        <f t="shared" si="0"/>
        <v>45939</v>
      </c>
      <c r="AH5" s="62">
        <f t="shared" si="0"/>
        <v>45940</v>
      </c>
      <c r="AI5" s="62">
        <f t="shared" si="0"/>
        <v>45941</v>
      </c>
      <c r="AJ5" s="63">
        <f t="shared" si="0"/>
        <v>45942</v>
      </c>
      <c r="AK5" s="61">
        <f>AJ5+1</f>
        <v>45943</v>
      </c>
      <c r="AL5" s="62">
        <f>AK5+1</f>
        <v>45944</v>
      </c>
      <c r="AM5" s="62">
        <f t="shared" si="0"/>
        <v>45945</v>
      </c>
      <c r="AN5" s="62">
        <f t="shared" si="0"/>
        <v>45946</v>
      </c>
      <c r="AO5" s="62">
        <f t="shared" si="0"/>
        <v>45947</v>
      </c>
      <c r="AP5" s="62">
        <f t="shared" si="0"/>
        <v>45948</v>
      </c>
      <c r="AQ5" s="63">
        <f t="shared" si="0"/>
        <v>45949</v>
      </c>
      <c r="AR5" s="61">
        <f>AQ5+1</f>
        <v>45950</v>
      </c>
      <c r="AS5" s="62">
        <f>AR5+1</f>
        <v>45951</v>
      </c>
      <c r="AT5" s="62">
        <f t="shared" si="0"/>
        <v>45952</v>
      </c>
      <c r="AU5" s="62">
        <f t="shared" si="0"/>
        <v>45953</v>
      </c>
      <c r="AV5" s="62">
        <f t="shared" si="0"/>
        <v>45954</v>
      </c>
      <c r="AW5" s="62">
        <f t="shared" si="0"/>
        <v>45955</v>
      </c>
      <c r="AX5" s="63">
        <f t="shared" si="0"/>
        <v>45956</v>
      </c>
      <c r="AY5" s="61">
        <f>AX5+1</f>
        <v>45957</v>
      </c>
      <c r="AZ5" s="62">
        <f>AY5+1</f>
        <v>45958</v>
      </c>
      <c r="BA5" s="62">
        <f t="shared" ref="BA5:BE5" si="1">AZ5+1</f>
        <v>45959</v>
      </c>
      <c r="BB5" s="62">
        <f t="shared" si="1"/>
        <v>45960</v>
      </c>
      <c r="BC5" s="62">
        <f t="shared" si="1"/>
        <v>45961</v>
      </c>
      <c r="BD5" s="62">
        <f t="shared" si="1"/>
        <v>45962</v>
      </c>
      <c r="BE5" s="63">
        <f t="shared" si="1"/>
        <v>45963</v>
      </c>
      <c r="BF5" s="61">
        <f>BE5+1</f>
        <v>45964</v>
      </c>
      <c r="BG5" s="62">
        <f>BF5+1</f>
        <v>45965</v>
      </c>
      <c r="BH5" s="62">
        <f t="shared" ref="BH5:BL5" si="2">BG5+1</f>
        <v>45966</v>
      </c>
      <c r="BI5" s="62">
        <f t="shared" si="2"/>
        <v>45967</v>
      </c>
      <c r="BJ5" s="62">
        <f t="shared" si="2"/>
        <v>45968</v>
      </c>
      <c r="BK5" s="62">
        <f t="shared" si="2"/>
        <v>45969</v>
      </c>
      <c r="BL5" s="63">
        <f t="shared" si="2"/>
        <v>45970</v>
      </c>
    </row>
    <row r="6" spans="1:64" ht="30" customHeight="1" thickBot="1" x14ac:dyDescent="0.35">
      <c r="A6" s="36" t="s">
        <v>5</v>
      </c>
      <c r="B6" s="8" t="s">
        <v>14</v>
      </c>
      <c r="C6" s="9" t="s">
        <v>18</v>
      </c>
      <c r="D6" s="9" t="s">
        <v>19</v>
      </c>
      <c r="E6" s="9" t="s">
        <v>20</v>
      </c>
      <c r="F6" s="9" t="s">
        <v>21</v>
      </c>
      <c r="G6" s="9"/>
      <c r="H6" s="9" t="s">
        <v>22</v>
      </c>
      <c r="I6" s="10" t="str">
        <f t="shared" ref="I6:AN6" si="3">LEFT(TEXT(I5,"ДДД"),1)</f>
        <v>Д</v>
      </c>
      <c r="J6" s="10" t="str">
        <f t="shared" si="3"/>
        <v>Д</v>
      </c>
      <c r="K6" s="10" t="str">
        <f t="shared" si="3"/>
        <v>Д</v>
      </c>
      <c r="L6" s="10" t="str">
        <f t="shared" si="3"/>
        <v>Д</v>
      </c>
      <c r="M6" s="10" t="str">
        <f t="shared" si="3"/>
        <v>Д</v>
      </c>
      <c r="N6" s="10" t="str">
        <f t="shared" si="3"/>
        <v>Д</v>
      </c>
      <c r="O6" s="10" t="str">
        <f t="shared" si="3"/>
        <v>Д</v>
      </c>
      <c r="P6" s="10" t="str">
        <f t="shared" si="3"/>
        <v>Д</v>
      </c>
      <c r="Q6" s="10" t="str">
        <f t="shared" si="3"/>
        <v>Д</v>
      </c>
      <c r="R6" s="10" t="str">
        <f t="shared" si="3"/>
        <v>Д</v>
      </c>
      <c r="S6" s="10" t="str">
        <f t="shared" si="3"/>
        <v>Д</v>
      </c>
      <c r="T6" s="10" t="str">
        <f t="shared" si="3"/>
        <v>Д</v>
      </c>
      <c r="U6" s="10" t="str">
        <f t="shared" si="3"/>
        <v>Д</v>
      </c>
      <c r="V6" s="10" t="str">
        <f t="shared" si="3"/>
        <v>Д</v>
      </c>
      <c r="W6" s="10" t="str">
        <f t="shared" si="3"/>
        <v>Д</v>
      </c>
      <c r="X6" s="10" t="str">
        <f t="shared" si="3"/>
        <v>Д</v>
      </c>
      <c r="Y6" s="10" t="str">
        <f t="shared" si="3"/>
        <v>Д</v>
      </c>
      <c r="Z6" s="10" t="str">
        <f t="shared" si="3"/>
        <v>Д</v>
      </c>
      <c r="AA6" s="10" t="str">
        <f t="shared" si="3"/>
        <v>Д</v>
      </c>
      <c r="AB6" s="10" t="str">
        <f t="shared" si="3"/>
        <v>Д</v>
      </c>
      <c r="AC6" s="10" t="str">
        <f t="shared" si="3"/>
        <v>Д</v>
      </c>
      <c r="AD6" s="10" t="str">
        <f t="shared" si="3"/>
        <v>Д</v>
      </c>
      <c r="AE6" s="10" t="str">
        <f t="shared" si="3"/>
        <v>Д</v>
      </c>
      <c r="AF6" s="10" t="str">
        <f t="shared" si="3"/>
        <v>Д</v>
      </c>
      <c r="AG6" s="10" t="str">
        <f t="shared" si="3"/>
        <v>Д</v>
      </c>
      <c r="AH6" s="10" t="str">
        <f t="shared" si="3"/>
        <v>Д</v>
      </c>
      <c r="AI6" s="10" t="str">
        <f t="shared" si="3"/>
        <v>Д</v>
      </c>
      <c r="AJ6" s="10" t="str">
        <f t="shared" si="3"/>
        <v>Д</v>
      </c>
      <c r="AK6" s="10" t="str">
        <f t="shared" si="3"/>
        <v>Д</v>
      </c>
      <c r="AL6" s="10" t="str">
        <f t="shared" si="3"/>
        <v>Д</v>
      </c>
      <c r="AM6" s="10" t="str">
        <f t="shared" si="3"/>
        <v>Д</v>
      </c>
      <c r="AN6" s="10" t="str">
        <f t="shared" si="3"/>
        <v>Д</v>
      </c>
      <c r="AO6" s="10" t="str">
        <f t="shared" ref="AO6:BL6" si="4">LEFT(TEXT(AO5,"ДДД"),1)</f>
        <v>Д</v>
      </c>
      <c r="AP6" s="10" t="str">
        <f t="shared" si="4"/>
        <v>Д</v>
      </c>
      <c r="AQ6" s="10" t="str">
        <f t="shared" si="4"/>
        <v>Д</v>
      </c>
      <c r="AR6" s="10" t="str">
        <f t="shared" si="4"/>
        <v>Д</v>
      </c>
      <c r="AS6" s="10" t="str">
        <f t="shared" si="4"/>
        <v>Д</v>
      </c>
      <c r="AT6" s="10" t="str">
        <f t="shared" si="4"/>
        <v>Д</v>
      </c>
      <c r="AU6" s="10" t="str">
        <f t="shared" si="4"/>
        <v>Д</v>
      </c>
      <c r="AV6" s="10" t="str">
        <f t="shared" si="4"/>
        <v>Д</v>
      </c>
      <c r="AW6" s="10" t="str">
        <f t="shared" si="4"/>
        <v>Д</v>
      </c>
      <c r="AX6" s="10" t="str">
        <f t="shared" si="4"/>
        <v>Д</v>
      </c>
      <c r="AY6" s="10" t="str">
        <f t="shared" si="4"/>
        <v>Д</v>
      </c>
      <c r="AZ6" s="10" t="str">
        <f t="shared" si="4"/>
        <v>Д</v>
      </c>
      <c r="BA6" s="10" t="str">
        <f t="shared" si="4"/>
        <v>Д</v>
      </c>
      <c r="BB6" s="10" t="str">
        <f t="shared" si="4"/>
        <v>Д</v>
      </c>
      <c r="BC6" s="10" t="str">
        <f t="shared" si="4"/>
        <v>Д</v>
      </c>
      <c r="BD6" s="10" t="str">
        <f t="shared" si="4"/>
        <v>Д</v>
      </c>
      <c r="BE6" s="10" t="str">
        <f t="shared" si="4"/>
        <v>Д</v>
      </c>
      <c r="BF6" s="10" t="str">
        <f t="shared" si="4"/>
        <v>Д</v>
      </c>
      <c r="BG6" s="10" t="str">
        <f t="shared" si="4"/>
        <v>Д</v>
      </c>
      <c r="BH6" s="10" t="str">
        <f t="shared" si="4"/>
        <v>Д</v>
      </c>
      <c r="BI6" s="10" t="str">
        <f t="shared" si="4"/>
        <v>Д</v>
      </c>
      <c r="BJ6" s="10" t="str">
        <f t="shared" si="4"/>
        <v>Д</v>
      </c>
      <c r="BK6" s="10" t="str">
        <f t="shared" si="4"/>
        <v>Д</v>
      </c>
      <c r="BL6" s="10" t="str">
        <f t="shared" si="4"/>
        <v>Д</v>
      </c>
    </row>
    <row r="7" spans="1:64" ht="30" hidden="1" customHeight="1" thickBot="1" x14ac:dyDescent="0.35">
      <c r="A7" s="35" t="s">
        <v>6</v>
      </c>
      <c r="C7" s="38"/>
      <c r="E7"/>
      <c r="H7" t="str">
        <f>IF(OR(ISBLANK(начало_выполнения_задачи),ISBLANK(завершение_выполнения_задачи)),"",завершение_выполнения_задачи-начало_выполнения_задачи+1)</f>
        <v/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</row>
    <row r="8" spans="1:64" s="3" customFormat="1" ht="30" customHeight="1" thickBot="1" x14ac:dyDescent="0.35">
      <c r="A8" s="36" t="s">
        <v>7</v>
      </c>
      <c r="B8" s="15" t="s">
        <v>23</v>
      </c>
      <c r="C8" s="42"/>
      <c r="D8" s="16"/>
      <c r="E8" s="64"/>
      <c r="F8" s="65"/>
      <c r="G8" s="14"/>
      <c r="H8" s="14" t="str">
        <f t="shared" ref="H8:H30" si="5">IF(OR(ISBLANK(начало_выполнения_задачи),ISBLANK(завершение_выполнения_задачи)),"",завершение_выполнения_задачи-начало_выполнения_задачи+1)</f>
        <v/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</row>
    <row r="9" spans="1:64" s="3" customFormat="1" ht="30" customHeight="1" thickBot="1" x14ac:dyDescent="0.35">
      <c r="A9" s="36" t="s">
        <v>8</v>
      </c>
      <c r="B9" s="77" t="s">
        <v>24</v>
      </c>
      <c r="C9" s="43" t="s">
        <v>45</v>
      </c>
      <c r="D9" s="17">
        <v>1</v>
      </c>
      <c r="E9" s="66">
        <f>Начало_проекта</f>
        <v>45915</v>
      </c>
      <c r="F9" s="66">
        <f>Начало_проекта+1</f>
        <v>45916</v>
      </c>
      <c r="G9" s="14"/>
      <c r="H9" s="14">
        <f t="shared" si="5"/>
        <v>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</row>
    <row r="10" spans="1:64" s="3" customFormat="1" ht="30" customHeight="1" thickBot="1" x14ac:dyDescent="0.35">
      <c r="A10" s="36" t="s">
        <v>9</v>
      </c>
      <c r="B10" s="51" t="s">
        <v>25</v>
      </c>
      <c r="C10" s="43" t="s">
        <v>46</v>
      </c>
      <c r="D10" s="17">
        <v>1</v>
      </c>
      <c r="E10" s="66">
        <f>F9</f>
        <v>45916</v>
      </c>
      <c r="F10" s="66">
        <f>E10</f>
        <v>45916</v>
      </c>
      <c r="G10" s="14"/>
      <c r="H10" s="14">
        <f t="shared" si="5"/>
        <v>1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/>
      <c r="V10" s="32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</row>
    <row r="11" spans="1:64" s="3" customFormat="1" ht="30" customHeight="1" thickBot="1" x14ac:dyDescent="0.35">
      <c r="A11" s="35"/>
      <c r="B11" s="51" t="s">
        <v>26</v>
      </c>
      <c r="C11" s="43" t="s">
        <v>46</v>
      </c>
      <c r="D11" s="17">
        <v>1</v>
      </c>
      <c r="E11" s="66">
        <f>F10+7</f>
        <v>45923</v>
      </c>
      <c r="F11" s="66">
        <f>E11</f>
        <v>45923</v>
      </c>
      <c r="G11" s="14"/>
      <c r="H11" s="14">
        <f t="shared" si="5"/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</row>
    <row r="12" spans="1:64" s="3" customFormat="1" ht="30" customHeight="1" thickBot="1" x14ac:dyDescent="0.35">
      <c r="A12" s="35"/>
      <c r="B12" s="51" t="s">
        <v>27</v>
      </c>
      <c r="C12" s="43" t="s">
        <v>45</v>
      </c>
      <c r="D12" s="17">
        <v>1</v>
      </c>
      <c r="E12" s="66">
        <f>F11</f>
        <v>45923</v>
      </c>
      <c r="F12" s="66">
        <f>E12</f>
        <v>45923</v>
      </c>
      <c r="G12" s="14"/>
      <c r="H12" s="14">
        <f t="shared" si="5"/>
        <v>1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2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</row>
    <row r="13" spans="1:64" s="3" customFormat="1" ht="30" customHeight="1" thickBot="1" x14ac:dyDescent="0.35">
      <c r="A13" s="35"/>
      <c r="B13" s="77" t="s">
        <v>28</v>
      </c>
      <c r="C13" s="43" t="s">
        <v>45</v>
      </c>
      <c r="D13" s="17">
        <v>1</v>
      </c>
      <c r="E13" s="66">
        <f>F12</f>
        <v>45923</v>
      </c>
      <c r="F13" s="66">
        <f>E13+1</f>
        <v>45924</v>
      </c>
      <c r="G13" s="14"/>
      <c r="H13" s="14">
        <f t="shared" si="5"/>
        <v>2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</row>
    <row r="14" spans="1:64" s="3" customFormat="1" ht="30" customHeight="1" thickBot="1" x14ac:dyDescent="0.35">
      <c r="A14" s="35"/>
      <c r="B14" s="77" t="s">
        <v>29</v>
      </c>
      <c r="C14" s="43" t="s">
        <v>46</v>
      </c>
      <c r="D14" s="17">
        <v>1</v>
      </c>
      <c r="E14" s="66">
        <f>F13+40</f>
        <v>45964</v>
      </c>
      <c r="F14" s="66">
        <f>E14+18</f>
        <v>45982</v>
      </c>
      <c r="G14" s="14"/>
      <c r="H14" s="14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64" s="3" customFormat="1" ht="30" customHeight="1" thickBot="1" x14ac:dyDescent="0.35">
      <c r="A15" s="35"/>
      <c r="B15" s="77" t="s">
        <v>30</v>
      </c>
      <c r="C15" s="43" t="s">
        <v>46</v>
      </c>
      <c r="D15" s="17">
        <v>1</v>
      </c>
      <c r="E15" s="66">
        <f>E14</f>
        <v>45964</v>
      </c>
      <c r="F15" s="66">
        <f>E15+14</f>
        <v>45978</v>
      </c>
      <c r="G15" s="14"/>
      <c r="H15" s="14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</row>
    <row r="16" spans="1:64" s="3" customFormat="1" ht="30" customHeight="1" thickBot="1" x14ac:dyDescent="0.35">
      <c r="A16" s="36" t="s">
        <v>10</v>
      </c>
      <c r="B16" s="18" t="s">
        <v>31</v>
      </c>
      <c r="C16" s="44"/>
      <c r="D16" s="19"/>
      <c r="E16" s="67"/>
      <c r="F16" s="68"/>
      <c r="G16" s="14"/>
      <c r="H16" s="14" t="str">
        <f t="shared" si="5"/>
        <v/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</row>
    <row r="17" spans="1:64" s="3" customFormat="1" ht="30" customHeight="1" thickBot="1" x14ac:dyDescent="0.35">
      <c r="A17" s="36"/>
      <c r="B17" s="78" t="s">
        <v>32</v>
      </c>
      <c r="C17" s="86" t="s">
        <v>47</v>
      </c>
      <c r="D17" s="20">
        <v>1</v>
      </c>
      <c r="E17" s="69">
        <f>E13</f>
        <v>45923</v>
      </c>
      <c r="F17" s="69">
        <f>E17</f>
        <v>45923</v>
      </c>
      <c r="G17" s="14"/>
      <c r="H17" s="14">
        <f t="shared" si="5"/>
        <v>1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</row>
    <row r="18" spans="1:64" s="3" customFormat="1" ht="30" customHeight="1" thickBot="1" x14ac:dyDescent="0.35">
      <c r="A18" s="35"/>
      <c r="B18" s="52" t="s">
        <v>33</v>
      </c>
      <c r="C18" s="45" t="s">
        <v>46</v>
      </c>
      <c r="D18" s="20">
        <v>1</v>
      </c>
      <c r="E18" s="69">
        <f>F17+31</f>
        <v>45954</v>
      </c>
      <c r="F18" s="69">
        <f>E18+1</f>
        <v>45955</v>
      </c>
      <c r="G18" s="14"/>
      <c r="H18" s="14">
        <f t="shared" si="5"/>
        <v>2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2"/>
      <c r="V18" s="32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</row>
    <row r="19" spans="1:64" s="3" customFormat="1" ht="30" customHeight="1" thickBot="1" x14ac:dyDescent="0.35">
      <c r="A19" s="35" t="s">
        <v>11</v>
      </c>
      <c r="B19" s="21" t="s">
        <v>34</v>
      </c>
      <c r="C19" s="46"/>
      <c r="D19" s="22"/>
      <c r="E19" s="70"/>
      <c r="F19" s="71"/>
      <c r="G19" s="14"/>
      <c r="H19" s="14" t="str">
        <f t="shared" si="5"/>
        <v/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</row>
    <row r="20" spans="1:64" s="3" customFormat="1" ht="30" customHeight="1" thickBot="1" x14ac:dyDescent="0.35">
      <c r="A20" s="35"/>
      <c r="B20" s="53" t="s">
        <v>35</v>
      </c>
      <c r="C20" s="47" t="s">
        <v>46</v>
      </c>
      <c r="D20" s="23">
        <v>1</v>
      </c>
      <c r="E20" s="72">
        <f>E17+21</f>
        <v>45944</v>
      </c>
      <c r="F20" s="72">
        <f>E20+5</f>
        <v>45949</v>
      </c>
      <c r="G20" s="14"/>
      <c r="H20" s="14">
        <f t="shared" si="5"/>
        <v>6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</row>
    <row r="21" spans="1:64" s="3" customFormat="1" ht="30" customHeight="1" thickBot="1" x14ac:dyDescent="0.35">
      <c r="A21" s="35"/>
      <c r="B21" s="53" t="s">
        <v>37</v>
      </c>
      <c r="C21" s="47" t="s">
        <v>45</v>
      </c>
      <c r="D21" s="23">
        <v>1</v>
      </c>
      <c r="E21" s="72">
        <f>F20</f>
        <v>45949</v>
      </c>
      <c r="F21" s="72">
        <f>E21</f>
        <v>45949</v>
      </c>
      <c r="G21" s="14"/>
      <c r="H21" s="14">
        <f t="shared" si="5"/>
        <v>1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</row>
    <row r="22" spans="1:64" s="3" customFormat="1" ht="30" customHeight="1" thickBot="1" x14ac:dyDescent="0.35">
      <c r="A22" s="35"/>
      <c r="B22" s="53" t="s">
        <v>36</v>
      </c>
      <c r="C22" s="47" t="s">
        <v>45</v>
      </c>
      <c r="D22" s="23">
        <v>1</v>
      </c>
      <c r="E22" s="72">
        <f>F21+6</f>
        <v>45955</v>
      </c>
      <c r="F22" s="72">
        <f>E22</f>
        <v>45955</v>
      </c>
      <c r="G22" s="14"/>
      <c r="H22" s="14">
        <f t="shared" si="5"/>
        <v>1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</row>
    <row r="23" spans="1:64" s="3" customFormat="1" ht="30" customHeight="1" thickBot="1" x14ac:dyDescent="0.35">
      <c r="A23" s="35" t="s">
        <v>11</v>
      </c>
      <c r="B23" s="24" t="s">
        <v>38</v>
      </c>
      <c r="C23" s="48"/>
      <c r="D23" s="25"/>
      <c r="E23" s="73"/>
      <c r="F23" s="74"/>
      <c r="G23" s="14"/>
      <c r="H23" s="14" t="str">
        <f t="shared" si="5"/>
        <v/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</row>
    <row r="24" spans="1:64" s="3" customFormat="1" ht="30" customHeight="1" thickBot="1" x14ac:dyDescent="0.35">
      <c r="A24" s="35"/>
      <c r="B24" s="54" t="s">
        <v>39</v>
      </c>
      <c r="C24" s="87" t="s">
        <v>47</v>
      </c>
      <c r="D24" s="26">
        <v>1</v>
      </c>
      <c r="E24" s="75">
        <f>E17+16</f>
        <v>45939</v>
      </c>
      <c r="F24" s="75">
        <f>E24+1</f>
        <v>45940</v>
      </c>
      <c r="G24" s="14"/>
      <c r="H24" s="14">
        <f t="shared" si="5"/>
        <v>2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</row>
    <row r="25" spans="1:64" s="3" customFormat="1" ht="30" customHeight="1" thickBot="1" x14ac:dyDescent="0.35">
      <c r="A25" s="35"/>
      <c r="B25" s="54" t="s">
        <v>41</v>
      </c>
      <c r="C25" s="87" t="s">
        <v>47</v>
      </c>
      <c r="D25" s="26">
        <v>1</v>
      </c>
      <c r="E25" s="75">
        <f>F24+12</f>
        <v>45952</v>
      </c>
      <c r="F25" s="75">
        <f>E25+18</f>
        <v>45970</v>
      </c>
      <c r="G25" s="14"/>
      <c r="H25" s="14">
        <f t="shared" si="5"/>
        <v>19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</row>
    <row r="26" spans="1:64" s="3" customFormat="1" ht="30" customHeight="1" thickBot="1" x14ac:dyDescent="0.35">
      <c r="A26" s="35"/>
      <c r="B26" s="54" t="s">
        <v>42</v>
      </c>
      <c r="C26" s="49" t="s">
        <v>46</v>
      </c>
      <c r="D26" s="26">
        <v>1</v>
      </c>
      <c r="E26" s="75">
        <f>E25+12</f>
        <v>45964</v>
      </c>
      <c r="F26" s="75">
        <f>E26+4</f>
        <v>45968</v>
      </c>
      <c r="G26" s="14"/>
      <c r="H26" s="14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</row>
    <row r="27" spans="1:64" s="3" customFormat="1" ht="30" customHeight="1" thickBot="1" x14ac:dyDescent="0.35">
      <c r="A27" s="35"/>
      <c r="B27" s="79" t="s">
        <v>40</v>
      </c>
      <c r="C27" s="49" t="s">
        <v>45</v>
      </c>
      <c r="D27" s="26">
        <v>0.5</v>
      </c>
      <c r="E27" s="75">
        <f>F26+6</f>
        <v>45974</v>
      </c>
      <c r="F27" s="75">
        <f>E27+2</f>
        <v>45976</v>
      </c>
      <c r="G27" s="14"/>
      <c r="H27" s="14">
        <f t="shared" si="5"/>
        <v>3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</row>
    <row r="28" spans="1:64" s="3" customFormat="1" ht="30" customHeight="1" thickBot="1" x14ac:dyDescent="0.35">
      <c r="A28" s="35"/>
      <c r="B28" s="54" t="s">
        <v>37</v>
      </c>
      <c r="C28" s="49" t="s">
        <v>45</v>
      </c>
      <c r="D28" s="26">
        <v>0</v>
      </c>
      <c r="E28" s="75">
        <f>F27+1</f>
        <v>45977</v>
      </c>
      <c r="F28" s="75">
        <f>E28+5</f>
        <v>45982</v>
      </c>
      <c r="G28" s="14"/>
      <c r="H28" s="14">
        <f t="shared" si="5"/>
        <v>6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</row>
    <row r="29" spans="1:64" s="3" customFormat="1" ht="30" customHeight="1" thickBot="1" x14ac:dyDescent="0.35">
      <c r="A29" s="35" t="s">
        <v>12</v>
      </c>
      <c r="B29" s="55"/>
      <c r="C29" s="50"/>
      <c r="D29" s="13"/>
      <c r="E29" s="76"/>
      <c r="F29" s="76"/>
      <c r="G29" s="14"/>
      <c r="H29" s="14" t="str">
        <f t="shared" si="5"/>
        <v/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</row>
    <row r="30" spans="1:64" s="3" customFormat="1" ht="30" customHeight="1" thickBot="1" x14ac:dyDescent="0.35">
      <c r="A30" s="36" t="s">
        <v>13</v>
      </c>
      <c r="B30" s="27" t="s">
        <v>15</v>
      </c>
      <c r="C30" s="28"/>
      <c r="D30" s="29"/>
      <c r="E30" s="59"/>
      <c r="F30" s="60"/>
      <c r="G30" s="30"/>
      <c r="H30" s="30" t="str">
        <f t="shared" si="5"/>
        <v/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</row>
    <row r="31" spans="1:64" ht="30" customHeight="1" x14ac:dyDescent="0.3">
      <c r="G31" s="6"/>
    </row>
    <row r="32" spans="1:64" ht="30" customHeight="1" x14ac:dyDescent="0.3">
      <c r="C32" s="11"/>
      <c r="F32" s="37"/>
    </row>
    <row r="33" spans="3:3" ht="30" customHeight="1" x14ac:dyDescent="0.3">
      <c r="C33" s="12"/>
    </row>
  </sheetData>
  <mergeCells count="11">
    <mergeCell ref="BF4:BL4"/>
    <mergeCell ref="E3:F3"/>
    <mergeCell ref="I4:O4"/>
    <mergeCell ref="P4:V4"/>
    <mergeCell ref="W4:AC4"/>
    <mergeCell ref="AD4:AJ4"/>
    <mergeCell ref="C3:D3"/>
    <mergeCell ref="C4:D4"/>
    <mergeCell ref="AK4:AQ4"/>
    <mergeCell ref="AR4:AX4"/>
    <mergeCell ref="AY4:BE4"/>
  </mergeCells>
  <phoneticPr fontId="31" type="noConversion"/>
  <conditionalFormatting sqref="D7:D30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30">
    <cfRule type="expression" dxfId="2" priority="33">
      <formula>AND(TODAY()&gt;=I$5,TODAY()&lt;J$5)</formula>
    </cfRule>
  </conditionalFormatting>
  <conditionalFormatting sqref="I7:BL30">
    <cfRule type="expression" dxfId="1" priority="27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0" priority="28" stopIfTrue="1">
      <formula>AND(завершение_выполнения_задачи&gt;=I$5,начало_выполнения_задачи&lt;J$5)</formula>
    </cfRule>
  </conditionalFormatting>
  <dataValidations count="1">
    <dataValidation type="whole" operator="greaterThanOrEqual" allowBlank="1" showInputMessage="1" promptTitle="Отображение недели" prompt="При изменении этого числа представление &quot;Диаграмма Ганта&quot; прокручивается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55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8FE8ED85-58B3-4608-8E91-0433556D50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8DBB9E-6D89-4A94-9DC5-964B7833E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44944C-1F1D-4162-962A-96F3FC8455D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Расписание проекта</vt:lpstr>
      <vt:lpstr>'Расписание проекта'!Print_Titles</vt:lpstr>
      <vt:lpstr>'Расписание проекта'!завершение_выполнения_задачи</vt:lpstr>
      <vt:lpstr>'Расписание проекта'!начало_выполнения_задачи</vt:lpstr>
      <vt:lpstr>Начало_проекта</vt:lpstr>
      <vt:lpstr>Отображение_недели</vt:lpstr>
      <vt:lpstr>'Расписание проекта'!ход_выполнения_задачи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2025-11-21T08:06:50Z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